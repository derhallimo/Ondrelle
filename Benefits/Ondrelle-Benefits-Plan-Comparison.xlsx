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cal Plans" sheetId="1" state="visible" r:id="rId3"/>
    <sheet name="Retirement &amp; Other Benefi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<sst xmlns="http://schemas.openxmlformats.org/spreadsheetml/2006/main" count="35" uniqueCount="35">
  <si>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Ondrelle Benefits Plan Comparison</t>
  </si>
  <si>
    <t xml:space="preserve">Medical plan year 2027 · Employee-only coverage · Total Rewards</t>
  </si>
  <si>
    <t xml:space="preserve">Plan Tier</t>
  </si>
  <si>
    <t xml:space="preserve">Full Monthly Premium</t>
  </si>
  <si>
    <t xml:space="preserve">Annual Deductible</t>
  </si>
  <si>
    <t xml:space="preserve">Out-of-Pocket Max</t>
  </si>
  <si>
    <t xml:space="preserve">Primary Care Copay</t>
  </si>
  <si>
    <t xml:space="preserve">Specialist Copay</t>
  </si>
  <si>
    <t xml:space="preserve">Company Monthly Contribution</t>
  </si>
  <si>
    <t xml:space="preserve">Employee Pays Monthly</t>
  </si>
  <si>
    <t xml:space="preserve">Employee Pays Annually</t>
  </si>
  <si>
    <t xml:space="preserve">Bronze</t>
  </si>
  <si>
    <t xml:space="preserve">Silver</t>
  </si>
  <si>
    <t xml:space="preserve">Gold</t>
  </si>
  <si>
    <t xml:space="preserve">Note: Ondrelle's monthly contribution is fixed at 80% of the Silver plan's full premium, and applies as the same dollar amount no matter which tier you choose. If a plan's premium is lower than that fixed amount, employee cost floors at $0 rather than a refund.</t>
  </si>
  <si>
    <t xml:space="preserve">Source: Ondrelle Total Rewards team, plan year 2027. Ondrelle is a fictional company; figures are for workshop use only.</t>
  </si>
  <si>
    <t xml:space="preserve">Retirement &amp; Other Benefits</t>
  </si>
  <si>
    <t xml:space="preserve">Plan year 2027 · Total Rewards</t>
  </si>
  <si>
    <t xml:space="preserve">Benefit</t>
  </si>
  <si>
    <t xml:space="preserve">Detail</t>
  </si>
  <si>
    <t xml:space="preserve">401(k) Match</t>
  </si>
  <si>
    <t xml:space="preserve">Ondrelle matches 100% of the first 4% of pay contributed. The match is immediately vested — no waiting period.</t>
  </si>
  <si>
    <t xml:space="preserve">HSA Company Contribution</t>
  </si>
  <si>
    <t xml:space="preserve">$500 per year, employee-only coverage, for employees enrolled in the Bronze plan with an HSA.</t>
  </si>
  <si>
    <t xml:space="preserve">Basic Life Insurance</t>
  </si>
  <si>
    <t xml:space="preserve">1x annual salary, company-paid. Voluntary additional coverage is available at the employee's cost.</t>
  </si>
  <si>
    <t xml:space="preserve">Disability Insurance</t>
  </si>
  <si>
    <t xml:space="preserve">Short-term and long-term disability coverage, company-paid.</t>
  </si>
  <si>
    <t xml:space="preserve">Employee Assistance Program (EAP)</t>
  </si>
  <si>
    <t xml:space="preserve">6 free, confidential counseling sessions per year, for the employee and their household.</t>
  </si>
  <si>
    <t xml:space="preserve">Wellness Reimbursement</t>
  </si>
  <si>
    <t xml:space="preserve">Up to $50 per month for a gym membership, fitness class, or approved wellness app.</t>
  </si>
  <si>
    <t xml:space="preserve">Flexible Spending Account (FSA)</t>
  </si>
  <si>
    <t xml:space="preserve">Available for healthcare or dependent care expenses, regardless of medical plan tier.</t>
  </si>
  <si>
    <t xml:space="preserve">Ondrelle is a fictional company created for this workshop. Figures are for training purposes only.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</si>
</sst>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444444"/>
      <name val="Arial"/>
      <family val="0"/>
      <charset val="1"/>
    </font>
    <font>
      <sz val="11"/>
      <color rgb="FF444444"/>
      <name val="Arial"/>
      <family val="0"/>
      <charset val="1"/>
    </font>
    <font>
      <i val="true"/>
      <sz val="9.5"/>
      <color rgb="FF666666"/>
      <name val="Arial"/>
      <family val="0"/>
      <charset val="1"/>
    </font>
    <font>
      <i val="true"/>
      <sz val="9.5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A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88888"/>
      <rgbColor rgb="FF9999FF"/>
      <rgbColor rgb="FF993366"/>
      <rgbColor rgb="FFFFFFCC"/>
      <rgbColor rgb="FFEA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9" min="8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655</v>
      </c>
      <c r="C5" s="5" t="n">
        <v>2500</v>
      </c>
      <c r="D5" s="5" t="n">
        <v>6000</v>
      </c>
      <c r="E5" s="5" t="n">
        <v>35</v>
      </c>
      <c r="F5" s="5" t="n">
        <v>60</v>
      </c>
      <c r="G5" s="5" t="n">
        <f aca="false">$B$6*0.8</f>
        <v>560</v>
      </c>
      <c r="H5" s="5" t="n">
        <f aca="false">MAX(B5-G5,0)</f>
        <v>95</v>
      </c>
      <c r="I5" s="5" t="n">
        <f aca="false">H5*12</f>
        <v>1140</v>
      </c>
    </row>
    <row r="6" customFormat="false" ht="15" hidden="false" customHeight="false" outlineLevel="0" collapsed="false">
      <c r="A6" s="6" t="s">
        <v>12</v>
      </c>
      <c r="B6" s="7" t="n">
        <v>700</v>
      </c>
      <c r="C6" s="7" t="n">
        <v>1200</v>
      </c>
      <c r="D6" s="7" t="n">
        <v>4000</v>
      </c>
      <c r="E6" s="7" t="n">
        <v>25</v>
      </c>
      <c r="F6" s="7" t="n">
        <v>45</v>
      </c>
      <c r="G6" s="7" t="n">
        <f aca="false">$B$6*0.8</f>
        <v>560</v>
      </c>
      <c r="H6" s="7" t="n">
        <f aca="false">MAX(B6-G6,0)</f>
        <v>140</v>
      </c>
      <c r="I6" s="7" t="n">
        <f aca="false">H6*12</f>
        <v>1680</v>
      </c>
    </row>
    <row r="7" customFormat="false" ht="15" hidden="false" customHeight="false" outlineLevel="0" collapsed="false">
      <c r="A7" s="4" t="s">
        <v>13</v>
      </c>
      <c r="B7" s="5" t="n">
        <v>770</v>
      </c>
      <c r="C7" s="5" t="n">
        <v>500</v>
      </c>
      <c r="D7" s="5" t="n">
        <v>2500</v>
      </c>
      <c r="E7" s="5" t="n">
        <v>15</v>
      </c>
      <c r="F7" s="5" t="n">
        <v>30</v>
      </c>
      <c r="G7" s="5" t="n">
        <f aca="false">$B$6*0.8</f>
        <v>560</v>
      </c>
      <c r="H7" s="5" t="n">
        <f aca="false">MAX(B7-G7,0)</f>
        <v>210</v>
      </c>
      <c r="I7" s="5" t="n">
        <f aca="false">H7*12</f>
        <v>2520</v>
      </c>
    </row>
    <row r="9" customFormat="false" ht="27.75" hidden="false" customHeight="true" outlineLevel="0" collapsed="false">
      <c r="A9" s="8" t="s">
        <v>14</v>
      </c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9" t="s">
        <v>15</v>
      </c>
      <c r="B10" s="9"/>
      <c r="C10" s="9"/>
      <c r="D10" s="9"/>
      <c r="E10" s="9"/>
      <c r="F10" s="9"/>
      <c r="G10" s="9"/>
      <c r="H10" s="9"/>
      <c r="I10" s="9"/>
    </row>
  </sheetData>
  <mergeCells count="2">
    <mergeCell ref="A9:I9"/>
    <mergeCell ref="A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5"/>
  </cols>
  <sheetData>
    <row r="1" customFormat="false" ht="19.7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24" hidden="false" customHeight="true" outlineLevel="0" collapsed="false">
      <c r="A4" s="3" t="s">
        <v>18</v>
      </c>
      <c r="B4" s="3" t="s">
        <v>19</v>
      </c>
    </row>
    <row r="5" customFormat="false" ht="30" hidden="false" customHeight="true" outlineLevel="0" collapsed="false">
      <c r="A5" s="4" t="s">
        <v>20</v>
      </c>
      <c r="B5" s="10" t="s">
        <v>21</v>
      </c>
    </row>
    <row r="6" customFormat="false" ht="30" hidden="false" customHeight="true" outlineLevel="0" collapsed="false">
      <c r="A6" s="6" t="s">
        <v>22</v>
      </c>
      <c r="B6" s="11" t="s">
        <v>23</v>
      </c>
    </row>
    <row r="7" customFormat="false" ht="30" hidden="false" customHeight="true" outlineLevel="0" collapsed="false">
      <c r="A7" s="4" t="s">
        <v>24</v>
      </c>
      <c r="B7" s="10" t="s">
        <v>25</v>
      </c>
    </row>
    <row r="8" customFormat="false" ht="30" hidden="false" customHeight="true" outlineLevel="0" collapsed="false">
      <c r="A8" s="6" t="s">
        <v>26</v>
      </c>
      <c r="B8" s="11" t="s">
        <v>27</v>
      </c>
    </row>
    <row r="9" customFormat="false" ht="30" hidden="false" customHeight="true" outlineLevel="0" collapsed="false">
      <c r="A9" s="4" t="s">
        <v>28</v>
      </c>
      <c r="B9" s="10" t="s">
        <v>29</v>
      </c>
    </row>
    <row r="10" customFormat="false" ht="30" hidden="false" customHeight="true" outlineLevel="0" collapsed="false">
      <c r="A10" s="6" t="s">
        <v>30</v>
      </c>
      <c r="B10" s="11" t="s">
        <v>31</v>
      </c>
    </row>
    <row r="11" customFormat="false" ht="30" hidden="false" customHeight="true" outlineLevel="0" collapsed="false">
      <c r="A11" s="4" t="s">
        <v>32</v>
      </c>
      <c r="B11" s="10" t="s">
        <v>33</v>
      </c>
    </row>
    <row r="13" customFormat="false" ht="15" hidden="false" customHeight="false" outlineLevel="0" collapsed="false">
      <c r="A13" s="9" t="s">
        <v>34</v>
      </c>
      <c r="B13" s="9"/>
    </row>
  </sheetData>
  <mergeCells count="1"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2026-09-23T14:04:34Z</dcterms:created>
  <dc:creator>openpyxl</dc:creator>
  <dc:description/>
  <dc:language>en-US</dc:language>
  <cp:lastModifiedBy/>
  <dcterms:modified xsi:type="dcterms:W3CDTF">2026-09-23T14:04:34Z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